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ation" sheetId="1" r:id="rId5"/>
    <sheet state="visible" name="combat model" sheetId="2" r:id="rId6"/>
    <sheet state="visible" name="red force" sheetId="3" r:id="rId7"/>
    <sheet state="visible" name="blue force" sheetId="4" r:id="rId8"/>
  </sheets>
  <definedNames/>
  <calcPr/>
</workbook>
</file>

<file path=xl/sharedStrings.xml><?xml version="1.0" encoding="utf-8"?>
<sst xmlns="http://schemas.openxmlformats.org/spreadsheetml/2006/main" count="86" uniqueCount="70">
  <si>
    <t>parameter</t>
  </si>
  <si>
    <t>difinition</t>
  </si>
  <si>
    <t>A</t>
  </si>
  <si>
    <t>number of unit in force A</t>
  </si>
  <si>
    <t>B</t>
  </si>
  <si>
    <t>number of unit in force B</t>
  </si>
  <si>
    <t>number of well aim missiles fired by each A unit</t>
  </si>
  <si>
    <t>number of well aim missiles fired by each B unit</t>
  </si>
  <si>
    <t>a1</t>
  </si>
  <si>
    <t>number of hits by B's missiles need to put one A out of action</t>
  </si>
  <si>
    <t>b1</t>
  </si>
  <si>
    <t>number of hits by A's missiles need to put one B out of action</t>
  </si>
  <si>
    <t>a3</t>
  </si>
  <si>
    <t>number of well-aimed missiles destroy by each A</t>
  </si>
  <si>
    <t>b3</t>
  </si>
  <si>
    <t>number of well-aimed missiles destroy by each B</t>
  </si>
  <si>
    <t>ΔA</t>
  </si>
  <si>
    <t>number of units in force A out of action from B's salvo.</t>
  </si>
  <si>
    <t>ΔB</t>
  </si>
  <si>
    <t>number of units in force B out of action from A's salvo.</t>
  </si>
  <si>
    <t>Blue force damage by Red force attack</t>
  </si>
  <si>
    <t>Red force damage by Blue force attack</t>
  </si>
  <si>
    <t>salvo size</t>
  </si>
  <si>
    <t>minimum</t>
  </si>
  <si>
    <t>unit</t>
  </si>
  <si>
    <t>number</t>
  </si>
  <si>
    <t>missile number</t>
  </si>
  <si>
    <t>range</t>
  </si>
  <si>
    <t>Fire Power</t>
  </si>
  <si>
    <t>ASMD capability</t>
  </si>
  <si>
    <t>number to neutralize (warhead 220 kg)</t>
  </si>
  <si>
    <t>Defense Power</t>
  </si>
  <si>
    <t>Staying Power</t>
  </si>
  <si>
    <t>Aircraft Carrier Vikrant</t>
  </si>
  <si>
    <t>Destroyer Visakhapatnam</t>
  </si>
  <si>
    <t>Frigate Adm Gorshkov</t>
  </si>
  <si>
    <t>Corvette Ada-Class</t>
  </si>
  <si>
    <t>Landing Platform Dock Type 071</t>
  </si>
  <si>
    <t>Landing Craft Type 726 LCAC</t>
  </si>
  <si>
    <t>MCMV Type 082II</t>
  </si>
  <si>
    <t>Fleet Oiler Type 901</t>
  </si>
  <si>
    <t>Fleet Tanker Type 903A</t>
  </si>
  <si>
    <t>Hospital Ship Peace Ark Class</t>
  </si>
  <si>
    <t>Intelligence Ship Dongdiao Class</t>
  </si>
  <si>
    <t>Total</t>
  </si>
  <si>
    <t>b3B</t>
  </si>
  <si>
    <t>effective salvo</t>
  </si>
  <si>
    <t>number to neutralize (warhead 190 kg)</t>
  </si>
  <si>
    <t>KDDX</t>
  </si>
  <si>
    <t>Mogami 30FFM</t>
  </si>
  <si>
    <t>optimum</t>
  </si>
  <si>
    <t>Independence-class</t>
  </si>
  <si>
    <t>maximum</t>
  </si>
  <si>
    <t>Hayabusa-class</t>
  </si>
  <si>
    <t>FPB-57 Missile Craft</t>
  </si>
  <si>
    <t>Dokdo-class</t>
  </si>
  <si>
    <t>Type 071E</t>
  </si>
  <si>
    <t>Type 726 LCAC</t>
  </si>
  <si>
    <t>Awaji-class</t>
  </si>
  <si>
    <t>Henry J. Kaiser-class</t>
  </si>
  <si>
    <t>PCTC / Ro-Ro</t>
  </si>
  <si>
    <t>MR Product Tanker</t>
  </si>
  <si>
    <t>Panamax Container Ship</t>
  </si>
  <si>
    <t>Multi-Purpose Cargo Vessel</t>
  </si>
  <si>
    <t>Coastal Fishing Vessel</t>
  </si>
  <si>
    <t>Fokker Mk 200 Maritime Patrol Aircraft</t>
  </si>
  <si>
    <t>DO-22 Maritime Patrol Aircraft</t>
  </si>
  <si>
    <t>P-3C Maritime Patrol Aircraft</t>
  </si>
  <si>
    <t>Unmanned AerialVehicle</t>
  </si>
  <si>
    <t>a3A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</si>
</sst>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  <font>
      <color rgb="FFFFFFFF"/>
      <name val="Arial"/>
      <scheme val="minor"/>
    </font>
    <font>
      <sz val="11.0"/>
      <color theme="0"/>
      <name val="Arial"/>
    </font>
    <font>
      <color theme="0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F27EB"/>
        <bgColor rgb="FF0F27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3" fontId="4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0F27EB"/>
          <bgColor rgb="FF0F27EB"/>
        </patternFill>
      </fill>
      <border/>
    </dxf>
  </dxfs>
  <tableStyles count="2">
    <tableStyle count="4" pivot="0" name="red for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lue forc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0</xdr:row>
      <xdr:rowOff>200025</xdr:rowOff>
    </xdr:from>
    <xdr:ext cx="2667000" cy="4953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L22" displayName="Red_Force_Battle_Order" name="Red_Force_Battle_Order" id="1">
  <tableColumns count="10">
    <tableColumn name="unit" id="1"/>
    <tableColumn name="number" id="2"/>
    <tableColumn name="missile number" id="3"/>
    <tableColumn name="salvo size" id="4"/>
    <tableColumn name="range" id="5"/>
    <tableColumn name="Fire Power" id="6"/>
    <tableColumn name="ASMD capability" id="7"/>
    <tableColumn name="number to neutralize (warhead 220 kg)" id="8"/>
    <tableColumn name="Defense Power" id="9"/>
    <tableColumn name="Staying Power" id="10"/>
  </tableColumns>
  <tableStyleInfo name="red force-style" showColumnStripes="0" showFirstColumn="1" showLastColumn="1" showRowStripes="1"/>
</table>
</file>

<file path=xl/tables/table2.xml><?xml version="1.0" encoding="utf-8"?>
<table xmlns="http://schemas.openxmlformats.org/spreadsheetml/2006/main" ref="C4:L28" displayName="Blue_Force_Battle_Order" name="Blue_Force_Battle_Order" id="2">
  <tableColumns count="10">
    <tableColumn name="unit" id="1"/>
    <tableColumn name="number" id="2"/>
    <tableColumn name="missile number" id="3"/>
    <tableColumn name="salvo size" id="4"/>
    <tableColumn name="effective salvo" id="5"/>
    <tableColumn name="Fire Power" id="6"/>
    <tableColumn name="ASMD capability" id="7"/>
    <tableColumn name="number to neutralize (warhead 190 kg)" id="8"/>
    <tableColumn name="Defense Power" id="9"/>
    <tableColumn name="Staying Power" id="10"/>
  </tableColumns>
  <tableStyleInfo name="blue fo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46.0"/>
  </cols>
  <sheetData>
    <row r="2" ht="42.75" customHeight="1">
      <c r="B2" s="1"/>
      <c r="C2" s="2"/>
    </row>
    <row r="3">
      <c r="B3" s="1" t="s">
        <v>0</v>
      </c>
      <c r="C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 t="s">
        <v>5</v>
      </c>
    </row>
    <row r="6">
      <c r="B6" s="3" t="str">
        <f>char(945)</f>
        <v>α</v>
      </c>
      <c r="C6" s="1" t="s">
        <v>6</v>
      </c>
    </row>
    <row r="7">
      <c r="B7" s="3" t="str">
        <f>char(946)</f>
        <v>β</v>
      </c>
      <c r="C7" s="1" t="s">
        <v>7</v>
      </c>
    </row>
    <row r="8">
      <c r="B8" s="1" t="s">
        <v>8</v>
      </c>
      <c r="C8" s="1" t="s">
        <v>9</v>
      </c>
    </row>
    <row r="9">
      <c r="B9" s="1" t="s">
        <v>10</v>
      </c>
      <c r="C9" s="1" t="s">
        <v>11</v>
      </c>
    </row>
    <row r="10">
      <c r="B10" s="1" t="s">
        <v>12</v>
      </c>
      <c r="C10" s="1" t="s">
        <v>13</v>
      </c>
    </row>
    <row r="11">
      <c r="B11" s="1" t="s">
        <v>14</v>
      </c>
      <c r="C11" s="1" t="s">
        <v>15</v>
      </c>
    </row>
    <row r="12">
      <c r="B12" s="2" t="s">
        <v>16</v>
      </c>
      <c r="C12" s="1" t="s">
        <v>17</v>
      </c>
    </row>
    <row r="13">
      <c r="B13" s="2" t="s">
        <v>18</v>
      </c>
      <c r="C13" s="1" t="s">
        <v>19</v>
      </c>
    </row>
    <row r="14">
      <c r="C1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.75"/>
  </cols>
  <sheetData>
    <row r="4">
      <c r="B4" s="5" t="s">
        <v>20</v>
      </c>
      <c r="C4" s="6"/>
      <c r="D4" s="7">
        <f>('red force'!H22-'blue force'!K28)/'blue force'!L28</f>
        <v>0.8634280477</v>
      </c>
    </row>
    <row r="5">
      <c r="B5" s="8" t="s">
        <v>21</v>
      </c>
      <c r="C5" s="9"/>
      <c r="D5" s="10">
        <f>('blue force'!H28-'red force'!K22)/'red force'!L22</f>
        <v>0.6412803532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3" max="3" width="30.88"/>
    <col customWidth="1" min="4" max="4" width="11.13"/>
    <col customWidth="1" hidden="1" min="5" max="6" width="16.75"/>
    <col hidden="1" min="7" max="7" width="12.63"/>
    <col customWidth="1" hidden="1" min="9" max="9" width="19.13"/>
    <col customWidth="1" hidden="1" min="10" max="10" width="34.13"/>
    <col customWidth="1" min="11" max="11" width="16.75"/>
    <col customWidth="1" min="12" max="12" width="16.13"/>
    <col hidden="1" min="13" max="14" width="12.63"/>
  </cols>
  <sheetData>
    <row r="2">
      <c r="B2" s="1" t="s">
        <v>22</v>
      </c>
      <c r="C2" s="1" t="s">
        <v>23</v>
      </c>
    </row>
    <row r="4">
      <c r="C4" s="11" t="s">
        <v>24</v>
      </c>
      <c r="D4" s="11" t="s">
        <v>25</v>
      </c>
      <c r="E4" s="11" t="s">
        <v>26</v>
      </c>
      <c r="F4" s="12" t="s">
        <v>22</v>
      </c>
      <c r="G4" s="11" t="s">
        <v>27</v>
      </c>
      <c r="H4" s="12" t="s">
        <v>28</v>
      </c>
      <c r="I4" s="11" t="s">
        <v>29</v>
      </c>
      <c r="J4" s="11" t="s">
        <v>30</v>
      </c>
      <c r="K4" s="12" t="s">
        <v>31</v>
      </c>
      <c r="L4" s="11" t="s">
        <v>32</v>
      </c>
      <c r="N4" s="1" t="s">
        <v>25</v>
      </c>
    </row>
    <row r="5">
      <c r="C5" s="13" t="s">
        <v>33</v>
      </c>
      <c r="D5" s="14">
        <v>1.0</v>
      </c>
      <c r="E5" s="13">
        <v>0.0</v>
      </c>
      <c r="F5" s="15">
        <f t="shared" ref="F5:F21" si="1">if($C$2="minimum",1,if($C$2="optimum",2,if($C$2="maximum",3,0)))</f>
        <v>1</v>
      </c>
      <c r="G5" s="13">
        <v>0.0</v>
      </c>
      <c r="H5" s="13">
        <f t="shared" ref="H5:H17" si="2">F5*G5*D5</f>
        <v>0</v>
      </c>
      <c r="I5" s="13">
        <v>4.5</v>
      </c>
      <c r="J5" s="13">
        <v>4.0</v>
      </c>
      <c r="K5" s="13">
        <f t="shared" ref="K5:K17" si="3">D5*I5</f>
        <v>4.5</v>
      </c>
      <c r="L5" s="16">
        <f t="shared" ref="L5:L21" si="4">J5*D5</f>
        <v>4</v>
      </c>
      <c r="N5" s="1">
        <v>1.0</v>
      </c>
    </row>
    <row r="6">
      <c r="C6" s="13" t="s">
        <v>34</v>
      </c>
      <c r="D6" s="14">
        <v>4.0</v>
      </c>
      <c r="E6" s="13">
        <v>0.0</v>
      </c>
      <c r="F6" s="15">
        <f t="shared" si="1"/>
        <v>1</v>
      </c>
      <c r="G6" s="13">
        <v>14.4</v>
      </c>
      <c r="H6" s="13">
        <f t="shared" si="2"/>
        <v>57.6</v>
      </c>
      <c r="I6" s="13">
        <v>4.7</v>
      </c>
      <c r="J6" s="13">
        <v>2.0</v>
      </c>
      <c r="K6" s="13">
        <f t="shared" si="3"/>
        <v>18.8</v>
      </c>
      <c r="L6" s="16">
        <f t="shared" si="4"/>
        <v>8</v>
      </c>
      <c r="N6" s="1">
        <v>2.0</v>
      </c>
    </row>
    <row r="7">
      <c r="C7" s="13" t="s">
        <v>35</v>
      </c>
      <c r="D7" s="14">
        <v>6.0</v>
      </c>
      <c r="E7" s="13">
        <v>0.0</v>
      </c>
      <c r="F7" s="15">
        <f t="shared" si="1"/>
        <v>1</v>
      </c>
      <c r="G7" s="13">
        <v>14.4</v>
      </c>
      <c r="H7" s="13">
        <f t="shared" si="2"/>
        <v>86.4</v>
      </c>
      <c r="I7" s="13">
        <v>5.2</v>
      </c>
      <c r="J7" s="13">
        <v>2.0</v>
      </c>
      <c r="K7" s="13">
        <f t="shared" si="3"/>
        <v>31.2</v>
      </c>
      <c r="L7" s="16">
        <f t="shared" si="4"/>
        <v>12</v>
      </c>
      <c r="N7" s="1">
        <v>3.0</v>
      </c>
    </row>
    <row r="8">
      <c r="C8" s="13" t="s">
        <v>36</v>
      </c>
      <c r="D8" s="14">
        <v>10.0</v>
      </c>
      <c r="E8" s="13">
        <v>0.0</v>
      </c>
      <c r="F8" s="15">
        <f t="shared" si="1"/>
        <v>1</v>
      </c>
      <c r="G8" s="13">
        <v>4.6</v>
      </c>
      <c r="H8" s="13">
        <f t="shared" si="2"/>
        <v>46</v>
      </c>
      <c r="I8" s="13">
        <v>2.2</v>
      </c>
      <c r="J8" s="13">
        <v>1.5</v>
      </c>
      <c r="K8" s="13">
        <f t="shared" si="3"/>
        <v>22</v>
      </c>
      <c r="L8" s="16">
        <f t="shared" si="4"/>
        <v>15</v>
      </c>
      <c r="N8" s="1">
        <v>4.0</v>
      </c>
    </row>
    <row r="9">
      <c r="C9" s="13" t="s">
        <v>37</v>
      </c>
      <c r="D9" s="14">
        <v>8.0</v>
      </c>
      <c r="E9" s="13">
        <v>0.0</v>
      </c>
      <c r="F9" s="15">
        <f t="shared" si="1"/>
        <v>1</v>
      </c>
      <c r="G9" s="13">
        <v>0.0</v>
      </c>
      <c r="H9" s="13">
        <f t="shared" si="2"/>
        <v>0</v>
      </c>
      <c r="I9" s="13">
        <v>2.7</v>
      </c>
      <c r="J9" s="13">
        <v>3.0</v>
      </c>
      <c r="K9" s="13">
        <f t="shared" si="3"/>
        <v>21.6</v>
      </c>
      <c r="L9" s="16">
        <f t="shared" si="4"/>
        <v>24</v>
      </c>
      <c r="N9" s="1">
        <v>5.0</v>
      </c>
    </row>
    <row r="10">
      <c r="C10" s="13" t="s">
        <v>38</v>
      </c>
      <c r="D10" s="14">
        <v>16.0</v>
      </c>
      <c r="E10" s="13">
        <v>0.0</v>
      </c>
      <c r="F10" s="15">
        <f t="shared" si="1"/>
        <v>1</v>
      </c>
      <c r="G10" s="13">
        <v>0.0</v>
      </c>
      <c r="H10" s="13">
        <f t="shared" si="2"/>
        <v>0</v>
      </c>
      <c r="I10" s="13">
        <v>0.0</v>
      </c>
      <c r="J10" s="13">
        <v>0.3</v>
      </c>
      <c r="K10" s="13">
        <f t="shared" si="3"/>
        <v>0</v>
      </c>
      <c r="L10" s="16">
        <f t="shared" si="4"/>
        <v>4.8</v>
      </c>
      <c r="N10" s="1">
        <v>6.0</v>
      </c>
    </row>
    <row r="11">
      <c r="C11" s="13" t="s">
        <v>39</v>
      </c>
      <c r="D11" s="14">
        <v>4.0</v>
      </c>
      <c r="E11" s="13">
        <v>0.0</v>
      </c>
      <c r="F11" s="15">
        <f t="shared" si="1"/>
        <v>1</v>
      </c>
      <c r="G11" s="13">
        <v>0.0</v>
      </c>
      <c r="H11" s="13">
        <f t="shared" si="2"/>
        <v>0</v>
      </c>
      <c r="I11" s="13">
        <v>0.2</v>
      </c>
      <c r="J11" s="13">
        <v>0.7</v>
      </c>
      <c r="K11" s="13">
        <f t="shared" si="3"/>
        <v>0.8</v>
      </c>
      <c r="L11" s="16">
        <f t="shared" si="4"/>
        <v>2.8</v>
      </c>
      <c r="N11" s="1">
        <v>7.0</v>
      </c>
    </row>
    <row r="12">
      <c r="C12" s="13" t="s">
        <v>40</v>
      </c>
      <c r="D12" s="14">
        <v>2.0</v>
      </c>
      <c r="E12" s="13">
        <v>0.0</v>
      </c>
      <c r="F12" s="15">
        <f t="shared" si="1"/>
        <v>1</v>
      </c>
      <c r="G12" s="13">
        <v>0.0</v>
      </c>
      <c r="H12" s="13">
        <f t="shared" si="2"/>
        <v>0</v>
      </c>
      <c r="I12" s="13">
        <v>3.4</v>
      </c>
      <c r="J12" s="17">
        <v>3.5</v>
      </c>
      <c r="K12" s="13">
        <f t="shared" si="3"/>
        <v>6.8</v>
      </c>
      <c r="L12" s="16">
        <f t="shared" si="4"/>
        <v>7</v>
      </c>
      <c r="N12" s="1">
        <v>8.0</v>
      </c>
    </row>
    <row r="13">
      <c r="C13" s="13" t="s">
        <v>41</v>
      </c>
      <c r="D13" s="14">
        <v>4.0</v>
      </c>
      <c r="E13" s="13">
        <v>0.0</v>
      </c>
      <c r="F13" s="15">
        <f t="shared" si="1"/>
        <v>1</v>
      </c>
      <c r="G13" s="17">
        <v>0.0</v>
      </c>
      <c r="H13" s="13">
        <f t="shared" si="2"/>
        <v>0</v>
      </c>
      <c r="I13" s="17">
        <v>0.6</v>
      </c>
      <c r="J13" s="13">
        <v>2.5</v>
      </c>
      <c r="K13" s="13">
        <f t="shared" si="3"/>
        <v>2.4</v>
      </c>
      <c r="L13" s="16">
        <f t="shared" si="4"/>
        <v>10</v>
      </c>
      <c r="N13" s="1">
        <v>9.0</v>
      </c>
    </row>
    <row r="14">
      <c r="C14" s="13" t="s">
        <v>42</v>
      </c>
      <c r="D14" s="14">
        <v>1.0</v>
      </c>
      <c r="E14" s="13">
        <v>0.0</v>
      </c>
      <c r="F14" s="15">
        <f t="shared" si="1"/>
        <v>1</v>
      </c>
      <c r="G14" s="17">
        <v>0.0</v>
      </c>
      <c r="H14" s="13">
        <f t="shared" si="2"/>
        <v>0</v>
      </c>
      <c r="I14" s="17">
        <v>0.0</v>
      </c>
      <c r="J14" s="17">
        <v>1.5</v>
      </c>
      <c r="K14" s="13">
        <f t="shared" si="3"/>
        <v>0</v>
      </c>
      <c r="L14" s="16">
        <f t="shared" si="4"/>
        <v>1.5</v>
      </c>
      <c r="N14" s="1">
        <v>10.0</v>
      </c>
    </row>
    <row r="15">
      <c r="C15" s="13" t="s">
        <v>43</v>
      </c>
      <c r="D15" s="14">
        <v>1.0</v>
      </c>
      <c r="E15" s="13">
        <v>0.0</v>
      </c>
      <c r="F15" s="15">
        <f t="shared" si="1"/>
        <v>1</v>
      </c>
      <c r="G15" s="17">
        <v>0.0</v>
      </c>
      <c r="H15" s="17">
        <f t="shared" si="2"/>
        <v>0</v>
      </c>
      <c r="I15" s="17">
        <v>1.0</v>
      </c>
      <c r="J15" s="17">
        <v>1.5</v>
      </c>
      <c r="K15" s="13">
        <f t="shared" si="3"/>
        <v>1</v>
      </c>
      <c r="L15" s="16">
        <f t="shared" si="4"/>
        <v>1.5</v>
      </c>
      <c r="N15" s="1">
        <v>12.0</v>
      </c>
    </row>
    <row r="16" hidden="1">
      <c r="C16" s="17"/>
      <c r="D16" s="14">
        <v>0.0</v>
      </c>
      <c r="E16" s="13">
        <v>0.0</v>
      </c>
      <c r="F16" s="15">
        <f t="shared" si="1"/>
        <v>1</v>
      </c>
      <c r="G16" s="17">
        <v>0.0</v>
      </c>
      <c r="H16" s="17">
        <f t="shared" si="2"/>
        <v>0</v>
      </c>
      <c r="I16" s="17">
        <v>0.0</v>
      </c>
      <c r="J16" s="17">
        <v>0.0</v>
      </c>
      <c r="K16" s="13">
        <f t="shared" si="3"/>
        <v>0</v>
      </c>
      <c r="L16" s="16">
        <f t="shared" si="4"/>
        <v>0</v>
      </c>
      <c r="N16" s="1">
        <v>0.0</v>
      </c>
    </row>
    <row r="17" ht="17.25" hidden="1" customHeight="1">
      <c r="C17" s="17"/>
      <c r="D17" s="14">
        <v>0.0</v>
      </c>
      <c r="E17" s="13">
        <v>0.0</v>
      </c>
      <c r="F17" s="15">
        <f t="shared" si="1"/>
        <v>1</v>
      </c>
      <c r="G17" s="17">
        <v>0.0</v>
      </c>
      <c r="H17" s="17">
        <f t="shared" si="2"/>
        <v>0</v>
      </c>
      <c r="I17" s="17">
        <v>0.0</v>
      </c>
      <c r="J17" s="17">
        <v>0.0</v>
      </c>
      <c r="K17" s="13">
        <f t="shared" si="3"/>
        <v>0</v>
      </c>
      <c r="L17" s="16">
        <f t="shared" si="4"/>
        <v>0</v>
      </c>
    </row>
    <row r="18" hidden="1">
      <c r="C18" s="17"/>
      <c r="D18" s="14">
        <v>0.0</v>
      </c>
      <c r="E18" s="13">
        <v>0.0</v>
      </c>
      <c r="F18" s="15">
        <f t="shared" si="1"/>
        <v>1</v>
      </c>
      <c r="G18" s="17"/>
      <c r="H18" s="17"/>
      <c r="I18" s="17">
        <v>0.0</v>
      </c>
      <c r="J18" s="17"/>
      <c r="K18" s="17"/>
      <c r="L18" s="16">
        <f t="shared" si="4"/>
        <v>0</v>
      </c>
    </row>
    <row r="19" hidden="1">
      <c r="C19" s="17"/>
      <c r="D19" s="14">
        <v>0.0</v>
      </c>
      <c r="E19" s="13">
        <v>0.0</v>
      </c>
      <c r="F19" s="15">
        <f t="shared" si="1"/>
        <v>1</v>
      </c>
      <c r="G19" s="17">
        <v>0.0</v>
      </c>
      <c r="H19" s="17">
        <f t="shared" ref="H19:H21" si="5">F19*G19*D19</f>
        <v>0</v>
      </c>
      <c r="I19" s="17">
        <v>0.0</v>
      </c>
      <c r="J19" s="17"/>
      <c r="K19" s="17"/>
      <c r="L19" s="16">
        <f t="shared" si="4"/>
        <v>0</v>
      </c>
    </row>
    <row r="20" hidden="1">
      <c r="C20" s="17"/>
      <c r="D20" s="14">
        <v>0.0</v>
      </c>
      <c r="E20" s="13">
        <v>0.0</v>
      </c>
      <c r="F20" s="15">
        <f t="shared" si="1"/>
        <v>1</v>
      </c>
      <c r="G20" s="17">
        <v>0.0</v>
      </c>
      <c r="H20" s="17">
        <f t="shared" si="5"/>
        <v>0</v>
      </c>
      <c r="I20" s="17">
        <v>0.0</v>
      </c>
      <c r="J20" s="17"/>
      <c r="K20" s="17"/>
      <c r="L20" s="16">
        <f t="shared" si="4"/>
        <v>0</v>
      </c>
    </row>
    <row r="21" hidden="1">
      <c r="C21" s="17"/>
      <c r="D21" s="14">
        <v>0.0</v>
      </c>
      <c r="E21" s="13">
        <v>0.0</v>
      </c>
      <c r="F21" s="15">
        <f t="shared" si="1"/>
        <v>1</v>
      </c>
      <c r="G21" s="17">
        <v>0.0</v>
      </c>
      <c r="H21" s="17">
        <f t="shared" si="5"/>
        <v>0</v>
      </c>
      <c r="I21" s="17">
        <v>0.0</v>
      </c>
      <c r="J21" s="17"/>
      <c r="K21" s="17"/>
      <c r="L21" s="16">
        <f t="shared" si="4"/>
        <v>0</v>
      </c>
    </row>
    <row r="22">
      <c r="C22" s="17" t="s">
        <v>44</v>
      </c>
      <c r="D22" s="14">
        <f t="shared" ref="D22:E22" si="6">SUM(D5:D21)</f>
        <v>57</v>
      </c>
      <c r="E22" s="13">
        <f t="shared" si="6"/>
        <v>0</v>
      </c>
      <c r="F22" s="18"/>
      <c r="G22" s="19" t="str">
        <f>char(945)&amp;"A"</f>
        <v>αA</v>
      </c>
      <c r="H22" s="19">
        <f>SUM(H5:H21)</f>
        <v>190</v>
      </c>
      <c r="I22" s="19"/>
      <c r="J22" s="17" t="s">
        <v>45</v>
      </c>
      <c r="K22" s="17">
        <f>sum(K5:K17)</f>
        <v>109.1</v>
      </c>
      <c r="L22" s="19">
        <f>SUM(L5:L21)</f>
        <v>90.6</v>
      </c>
    </row>
  </sheetData>
  <dataValidations>
    <dataValidation type="list" allowBlank="1" showErrorMessage="1" sqref="C2">
      <formula1>'blue force'!$O$5:$O$6</formula1>
    </dataValidation>
    <dataValidation type="list" allowBlank="1" sqref="D5:D22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7EB"/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3" max="3" width="33.63"/>
    <col customWidth="1" min="4" max="4" width="11.13"/>
    <col customWidth="1" hidden="1" min="5" max="6" width="16.75"/>
    <col customWidth="1" hidden="1" min="7" max="7" width="16.0"/>
    <col customWidth="1" hidden="1" min="9" max="9" width="19.13"/>
    <col customWidth="1" hidden="1" min="10" max="10" width="34.13"/>
    <col customWidth="1" min="11" max="11" width="16.75"/>
    <col customWidth="1" min="12" max="12" width="16.13"/>
    <col hidden="1" min="14" max="15" width="12.63"/>
  </cols>
  <sheetData>
    <row r="2">
      <c r="B2" s="1" t="s">
        <v>22</v>
      </c>
      <c r="C2" s="1" t="s">
        <v>23</v>
      </c>
      <c r="J2" s="3">
        <f>if(C2="minimum",1,if(C2="optimum",2,if(C2="maximum",3,0)))</f>
        <v>1</v>
      </c>
    </row>
    <row r="4">
      <c r="C4" s="11" t="s">
        <v>24</v>
      </c>
      <c r="D4" s="11" t="s">
        <v>25</v>
      </c>
      <c r="E4" s="11" t="s">
        <v>26</v>
      </c>
      <c r="F4" s="12" t="s">
        <v>22</v>
      </c>
      <c r="G4" s="11" t="s">
        <v>46</v>
      </c>
      <c r="H4" s="12" t="s">
        <v>28</v>
      </c>
      <c r="I4" s="11" t="s">
        <v>29</v>
      </c>
      <c r="J4" s="11" t="s">
        <v>47</v>
      </c>
      <c r="K4" s="12" t="s">
        <v>31</v>
      </c>
      <c r="L4" s="11" t="s">
        <v>32</v>
      </c>
      <c r="N4" s="1" t="s">
        <v>25</v>
      </c>
      <c r="O4" s="1" t="s">
        <v>22</v>
      </c>
    </row>
    <row r="5">
      <c r="C5" s="20" t="s">
        <v>48</v>
      </c>
      <c r="D5" s="14">
        <v>4.0</v>
      </c>
      <c r="E5" s="13">
        <v>0.0</v>
      </c>
      <c r="F5" s="13">
        <f t="shared" ref="F5:F27" si="1">if($C$2="minimum",1,if($C$2="optimum",2,if($C$2="maximum",3,0)))</f>
        <v>1</v>
      </c>
      <c r="G5" s="13">
        <v>12.3</v>
      </c>
      <c r="H5" s="13">
        <f t="shared" ref="H5:H16" si="2">F5*G5*D5</f>
        <v>49.2</v>
      </c>
      <c r="I5" s="13">
        <v>5.5</v>
      </c>
      <c r="J5" s="13">
        <v>2.0</v>
      </c>
      <c r="K5" s="13">
        <f t="shared" ref="K5:K20" si="3">D5*I5</f>
        <v>22</v>
      </c>
      <c r="L5" s="16">
        <f t="shared" ref="L5:L20" si="4">D5*J5</f>
        <v>8</v>
      </c>
      <c r="N5" s="1">
        <v>1.0</v>
      </c>
      <c r="O5" s="1" t="s">
        <v>23</v>
      </c>
    </row>
    <row r="6">
      <c r="C6" s="20" t="s">
        <v>49</v>
      </c>
      <c r="D6" s="14">
        <v>10.0</v>
      </c>
      <c r="E6" s="13">
        <v>0.0</v>
      </c>
      <c r="F6" s="13">
        <f t="shared" si="1"/>
        <v>1</v>
      </c>
      <c r="G6" s="13">
        <v>5.8</v>
      </c>
      <c r="H6" s="13">
        <f t="shared" si="2"/>
        <v>58</v>
      </c>
      <c r="I6" s="13">
        <v>3.5</v>
      </c>
      <c r="J6" s="13">
        <v>2.0</v>
      </c>
      <c r="K6" s="13">
        <f t="shared" si="3"/>
        <v>35</v>
      </c>
      <c r="L6" s="16">
        <f t="shared" si="4"/>
        <v>20</v>
      </c>
      <c r="N6" s="1">
        <v>2.0</v>
      </c>
      <c r="O6" s="1" t="s">
        <v>50</v>
      </c>
    </row>
    <row r="7">
      <c r="C7" s="20" t="s">
        <v>51</v>
      </c>
      <c r="D7" s="14">
        <v>6.0</v>
      </c>
      <c r="E7" s="13">
        <v>0.0</v>
      </c>
      <c r="F7" s="13">
        <f t="shared" si="1"/>
        <v>1</v>
      </c>
      <c r="G7" s="13">
        <v>6.8</v>
      </c>
      <c r="H7" s="13">
        <f t="shared" si="2"/>
        <v>40.8</v>
      </c>
      <c r="I7" s="13">
        <v>1.7</v>
      </c>
      <c r="J7" s="13">
        <v>1.5</v>
      </c>
      <c r="K7" s="13">
        <f t="shared" si="3"/>
        <v>10.2</v>
      </c>
      <c r="L7" s="16">
        <f t="shared" si="4"/>
        <v>9</v>
      </c>
      <c r="N7" s="1">
        <v>3.0</v>
      </c>
      <c r="O7" s="1" t="s">
        <v>52</v>
      </c>
    </row>
    <row r="8">
      <c r="C8" s="20" t="s">
        <v>53</v>
      </c>
      <c r="D8" s="14">
        <v>9.0</v>
      </c>
      <c r="E8" s="13">
        <v>0.0</v>
      </c>
      <c r="F8" s="13">
        <f t="shared" si="1"/>
        <v>1</v>
      </c>
      <c r="G8" s="13">
        <v>1.4</v>
      </c>
      <c r="H8" s="13">
        <f t="shared" si="2"/>
        <v>12.6</v>
      </c>
      <c r="I8" s="13">
        <v>0.4</v>
      </c>
      <c r="J8" s="13">
        <v>0.5</v>
      </c>
      <c r="K8" s="13">
        <f t="shared" si="3"/>
        <v>3.6</v>
      </c>
      <c r="L8" s="16">
        <f t="shared" si="4"/>
        <v>4.5</v>
      </c>
      <c r="N8" s="1">
        <v>4.0</v>
      </c>
    </row>
    <row r="9">
      <c r="C9" s="20" t="s">
        <v>54</v>
      </c>
      <c r="D9" s="14">
        <v>6.0</v>
      </c>
      <c r="E9" s="13">
        <v>0.0</v>
      </c>
      <c r="F9" s="13">
        <f t="shared" si="1"/>
        <v>1</v>
      </c>
      <c r="G9" s="17">
        <v>1.1</v>
      </c>
      <c r="H9" s="13">
        <f t="shared" si="2"/>
        <v>6.6</v>
      </c>
      <c r="I9" s="13">
        <v>0.5</v>
      </c>
      <c r="J9" s="17">
        <v>0.5</v>
      </c>
      <c r="K9" s="13">
        <f t="shared" si="3"/>
        <v>3</v>
      </c>
      <c r="L9" s="16">
        <f t="shared" si="4"/>
        <v>3</v>
      </c>
      <c r="N9" s="1">
        <v>5.0</v>
      </c>
    </row>
    <row r="10" ht="8.25" customHeight="1">
      <c r="D10" s="14">
        <v>0.0</v>
      </c>
      <c r="E10" s="13">
        <v>0.0</v>
      </c>
      <c r="F10" s="13">
        <f t="shared" si="1"/>
        <v>1</v>
      </c>
      <c r="G10" s="13">
        <v>0.0</v>
      </c>
      <c r="H10" s="13">
        <f t="shared" si="2"/>
        <v>0</v>
      </c>
      <c r="I10" s="13">
        <v>0.0</v>
      </c>
      <c r="J10" s="13">
        <v>2.0</v>
      </c>
      <c r="K10" s="13">
        <f t="shared" si="3"/>
        <v>0</v>
      </c>
      <c r="L10" s="16">
        <f t="shared" si="4"/>
        <v>0</v>
      </c>
      <c r="N10" s="1">
        <v>6.0</v>
      </c>
    </row>
    <row r="11">
      <c r="C11" s="20" t="s">
        <v>55</v>
      </c>
      <c r="D11" s="14">
        <v>3.0</v>
      </c>
      <c r="E11" s="13">
        <v>0.0</v>
      </c>
      <c r="F11" s="13">
        <f t="shared" si="1"/>
        <v>1</v>
      </c>
      <c r="G11" s="13">
        <v>0.0</v>
      </c>
      <c r="H11" s="13">
        <f t="shared" si="2"/>
        <v>0</v>
      </c>
      <c r="I11" s="13">
        <v>2.7</v>
      </c>
      <c r="J11" s="13">
        <v>2.5</v>
      </c>
      <c r="K11" s="13">
        <f t="shared" si="3"/>
        <v>8.1</v>
      </c>
      <c r="L11" s="16">
        <f t="shared" si="4"/>
        <v>7.5</v>
      </c>
      <c r="N11" s="1">
        <v>7.0</v>
      </c>
    </row>
    <row r="12">
      <c r="C12" s="20" t="s">
        <v>56</v>
      </c>
      <c r="D12" s="14">
        <v>4.0</v>
      </c>
      <c r="E12" s="13">
        <v>0.0</v>
      </c>
      <c r="F12" s="13">
        <f t="shared" si="1"/>
        <v>1</v>
      </c>
      <c r="G12" s="13">
        <v>0.0</v>
      </c>
      <c r="H12" s="13">
        <f t="shared" si="2"/>
        <v>0</v>
      </c>
      <c r="I12" s="13">
        <v>3.0</v>
      </c>
      <c r="J12" s="13">
        <v>3.0</v>
      </c>
      <c r="K12" s="13">
        <f t="shared" si="3"/>
        <v>12</v>
      </c>
      <c r="L12" s="16">
        <f t="shared" si="4"/>
        <v>12</v>
      </c>
      <c r="N12" s="1">
        <v>8.0</v>
      </c>
    </row>
    <row r="13" ht="15.75" customHeight="1">
      <c r="C13" s="20" t="s">
        <v>57</v>
      </c>
      <c r="D13" s="14">
        <v>12.0</v>
      </c>
      <c r="E13" s="13">
        <v>0.0</v>
      </c>
      <c r="F13" s="13">
        <f t="shared" si="1"/>
        <v>1</v>
      </c>
      <c r="G13" s="13">
        <v>0.0</v>
      </c>
      <c r="H13" s="17">
        <f t="shared" si="2"/>
        <v>0</v>
      </c>
      <c r="I13" s="13">
        <v>0.0</v>
      </c>
      <c r="J13" s="17">
        <v>0.3</v>
      </c>
      <c r="K13" s="13">
        <f t="shared" si="3"/>
        <v>0</v>
      </c>
      <c r="L13" s="16">
        <f t="shared" si="4"/>
        <v>3.6</v>
      </c>
      <c r="N13" s="1">
        <v>9.0</v>
      </c>
    </row>
    <row r="14">
      <c r="C14" s="21" t="s">
        <v>58</v>
      </c>
      <c r="D14" s="14">
        <v>5.0</v>
      </c>
      <c r="E14" s="13">
        <v>0.0</v>
      </c>
      <c r="F14" s="13">
        <f t="shared" si="1"/>
        <v>1</v>
      </c>
      <c r="G14" s="13">
        <v>0.0</v>
      </c>
      <c r="H14" s="17">
        <f t="shared" si="2"/>
        <v>0</v>
      </c>
      <c r="I14" s="13">
        <v>0.1</v>
      </c>
      <c r="J14" s="17">
        <v>0.7</v>
      </c>
      <c r="K14" s="13">
        <f t="shared" si="3"/>
        <v>0.5</v>
      </c>
      <c r="L14" s="16">
        <f t="shared" si="4"/>
        <v>3.5</v>
      </c>
      <c r="N14" s="1">
        <v>10.0</v>
      </c>
    </row>
    <row r="15">
      <c r="C15" s="22" t="s">
        <v>59</v>
      </c>
      <c r="D15" s="14">
        <v>2.0</v>
      </c>
      <c r="E15" s="13">
        <v>0.0</v>
      </c>
      <c r="F15" s="13">
        <f t="shared" si="1"/>
        <v>1</v>
      </c>
      <c r="G15" s="13">
        <v>0.0</v>
      </c>
      <c r="H15" s="17">
        <f t="shared" si="2"/>
        <v>0</v>
      </c>
      <c r="I15" s="13">
        <v>0.7</v>
      </c>
      <c r="J15" s="17">
        <v>3.0</v>
      </c>
      <c r="K15" s="13">
        <f t="shared" si="3"/>
        <v>1.4</v>
      </c>
      <c r="L15" s="16">
        <f t="shared" si="4"/>
        <v>6</v>
      </c>
      <c r="N15" s="1">
        <v>11.0</v>
      </c>
    </row>
    <row r="16">
      <c r="C16" s="20" t="s">
        <v>60</v>
      </c>
      <c r="D16" s="14">
        <v>4.0</v>
      </c>
      <c r="E16" s="13">
        <v>0.0</v>
      </c>
      <c r="F16" s="13">
        <f t="shared" si="1"/>
        <v>1</v>
      </c>
      <c r="G16" s="13">
        <v>0.0</v>
      </c>
      <c r="H16" s="17">
        <f t="shared" si="2"/>
        <v>0</v>
      </c>
      <c r="I16" s="13">
        <v>0.0</v>
      </c>
      <c r="J16" s="17">
        <v>2.0</v>
      </c>
      <c r="K16" s="13">
        <f t="shared" si="3"/>
        <v>0</v>
      </c>
      <c r="L16" s="16">
        <f t="shared" si="4"/>
        <v>8</v>
      </c>
      <c r="N16" s="1">
        <v>12.0</v>
      </c>
    </row>
    <row r="17">
      <c r="C17" s="13" t="s">
        <v>61</v>
      </c>
      <c r="D17" s="14">
        <v>4.0</v>
      </c>
      <c r="F17" s="13">
        <f t="shared" si="1"/>
        <v>1</v>
      </c>
      <c r="G17" s="13">
        <v>0.0</v>
      </c>
      <c r="J17" s="13">
        <v>2.0</v>
      </c>
      <c r="K17" s="13">
        <f t="shared" si="3"/>
        <v>0</v>
      </c>
      <c r="L17" s="16">
        <f t="shared" si="4"/>
        <v>8</v>
      </c>
      <c r="N17" s="1">
        <v>0.0</v>
      </c>
    </row>
    <row r="18">
      <c r="C18" s="20" t="s">
        <v>62</v>
      </c>
      <c r="D18" s="14">
        <v>4.0</v>
      </c>
      <c r="E18" s="13">
        <v>0.0</v>
      </c>
      <c r="F18" s="13">
        <f t="shared" si="1"/>
        <v>1</v>
      </c>
      <c r="G18" s="13">
        <v>0.0</v>
      </c>
      <c r="H18" s="17">
        <f t="shared" ref="H18:H20" si="5">F18*G18*D18</f>
        <v>0</v>
      </c>
      <c r="I18" s="13">
        <v>0.0</v>
      </c>
      <c r="J18" s="17">
        <v>2.0</v>
      </c>
      <c r="K18" s="13">
        <f t="shared" si="3"/>
        <v>0</v>
      </c>
      <c r="L18" s="16">
        <f t="shared" si="4"/>
        <v>8</v>
      </c>
    </row>
    <row r="19">
      <c r="C19" s="20" t="s">
        <v>63</v>
      </c>
      <c r="D19" s="14">
        <v>4.0</v>
      </c>
      <c r="E19" s="13">
        <v>0.0</v>
      </c>
      <c r="F19" s="13">
        <f t="shared" si="1"/>
        <v>1</v>
      </c>
      <c r="G19" s="13">
        <v>0.0</v>
      </c>
      <c r="H19" s="17">
        <f t="shared" si="5"/>
        <v>0</v>
      </c>
      <c r="I19" s="13">
        <v>0.0</v>
      </c>
      <c r="J19" s="17">
        <v>1.5</v>
      </c>
      <c r="K19" s="13">
        <f t="shared" si="3"/>
        <v>0</v>
      </c>
      <c r="L19" s="16">
        <f t="shared" si="4"/>
        <v>6</v>
      </c>
    </row>
    <row r="20">
      <c r="C20" s="20" t="s">
        <v>64</v>
      </c>
      <c r="D20" s="14">
        <v>20.0</v>
      </c>
      <c r="E20" s="13">
        <v>0.0</v>
      </c>
      <c r="F20" s="13">
        <f t="shared" si="1"/>
        <v>1</v>
      </c>
      <c r="G20" s="13">
        <v>0.0</v>
      </c>
      <c r="H20" s="17">
        <f t="shared" si="5"/>
        <v>0</v>
      </c>
      <c r="I20" s="13">
        <v>0.0</v>
      </c>
      <c r="J20" s="17">
        <v>0.1</v>
      </c>
      <c r="K20" s="13">
        <f t="shared" si="3"/>
        <v>0</v>
      </c>
      <c r="L20" s="16">
        <f t="shared" si="4"/>
        <v>2</v>
      </c>
    </row>
    <row r="21" hidden="1">
      <c r="C21" s="17"/>
      <c r="D21" s="14">
        <v>0.0</v>
      </c>
      <c r="E21" s="13">
        <v>0.0</v>
      </c>
      <c r="F21" s="13">
        <f t="shared" si="1"/>
        <v>1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</row>
    <row r="22" hidden="1">
      <c r="C22" s="17"/>
      <c r="D22" s="14">
        <v>0.0</v>
      </c>
      <c r="E22" s="13">
        <v>0.0</v>
      </c>
      <c r="F22" s="13">
        <f t="shared" si="1"/>
        <v>1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</row>
    <row r="23" ht="6.0" hidden="1" customHeight="1">
      <c r="C23" s="17"/>
      <c r="D23" s="14">
        <v>0.0</v>
      </c>
      <c r="E23" s="13">
        <v>0.0</v>
      </c>
      <c r="F23" s="13">
        <f t="shared" si="1"/>
        <v>1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</row>
    <row r="24" hidden="1">
      <c r="C24" s="17" t="s">
        <v>65</v>
      </c>
      <c r="D24" s="14">
        <v>4.0</v>
      </c>
      <c r="E24" s="17">
        <v>2.0</v>
      </c>
      <c r="F24" s="13">
        <f t="shared" si="1"/>
        <v>1</v>
      </c>
      <c r="G24" s="13">
        <v>0.0</v>
      </c>
      <c r="H24" s="17">
        <f t="shared" ref="H24:H27" si="6">F24*G24*D24</f>
        <v>0</v>
      </c>
      <c r="I24" s="17"/>
      <c r="J24" s="17"/>
      <c r="K24" s="13">
        <f t="shared" ref="K24:K27" si="7">D24*I24</f>
        <v>0</v>
      </c>
      <c r="L24" s="17">
        <f t="shared" ref="L24:L27" si="8">D24*J24</f>
        <v>0</v>
      </c>
    </row>
    <row r="25" hidden="1">
      <c r="C25" s="17" t="s">
        <v>66</v>
      </c>
      <c r="D25" s="14">
        <v>4.0</v>
      </c>
      <c r="E25" s="17">
        <v>0.0</v>
      </c>
      <c r="F25" s="13">
        <f t="shared" si="1"/>
        <v>1</v>
      </c>
      <c r="G25" s="13">
        <v>0.0</v>
      </c>
      <c r="H25" s="17">
        <f t="shared" si="6"/>
        <v>0</v>
      </c>
      <c r="I25" s="17"/>
      <c r="J25" s="17"/>
      <c r="K25" s="13">
        <f t="shared" si="7"/>
        <v>0</v>
      </c>
      <c r="L25" s="17">
        <f t="shared" si="8"/>
        <v>0</v>
      </c>
    </row>
    <row r="26" hidden="1">
      <c r="C26" s="17" t="s">
        <v>67</v>
      </c>
      <c r="D26" s="14">
        <v>4.0</v>
      </c>
      <c r="E26" s="17">
        <v>0.0</v>
      </c>
      <c r="F26" s="13">
        <f t="shared" si="1"/>
        <v>1</v>
      </c>
      <c r="G26" s="13">
        <v>0.0</v>
      </c>
      <c r="H26" s="17">
        <f t="shared" si="6"/>
        <v>0</v>
      </c>
      <c r="I26" s="17"/>
      <c r="J26" s="17"/>
      <c r="K26" s="13">
        <f t="shared" si="7"/>
        <v>0</v>
      </c>
      <c r="L26" s="17">
        <f t="shared" si="8"/>
        <v>0</v>
      </c>
    </row>
    <row r="27" hidden="1">
      <c r="C27" s="17" t="s">
        <v>68</v>
      </c>
      <c r="D27" s="14">
        <v>4.0</v>
      </c>
      <c r="E27" s="17">
        <v>0.0</v>
      </c>
      <c r="F27" s="13">
        <f t="shared" si="1"/>
        <v>1</v>
      </c>
      <c r="G27" s="13">
        <v>0.0</v>
      </c>
      <c r="H27" s="17">
        <f t="shared" si="6"/>
        <v>0</v>
      </c>
      <c r="I27" s="17"/>
      <c r="J27" s="17"/>
      <c r="K27" s="13">
        <f t="shared" si="7"/>
        <v>0</v>
      </c>
      <c r="L27" s="17">
        <f t="shared" si="8"/>
        <v>0</v>
      </c>
    </row>
    <row r="28">
      <c r="C28" s="17" t="s">
        <v>44</v>
      </c>
      <c r="D28" s="14">
        <f>SUM(D5:D20)</f>
        <v>97</v>
      </c>
      <c r="E28" s="19"/>
      <c r="F28" s="13"/>
      <c r="G28" s="19" t="str">
        <f>char(945)&amp;"A"</f>
        <v>αA</v>
      </c>
      <c r="H28" s="19">
        <f>SUM(H5:H27)</f>
        <v>167.2</v>
      </c>
      <c r="I28" s="19"/>
      <c r="J28" s="17" t="s">
        <v>69</v>
      </c>
      <c r="K28" s="16">
        <f t="shared" ref="K28:L28" si="9">SUM(K5:K27)</f>
        <v>95.8</v>
      </c>
      <c r="L28" s="19">
        <f t="shared" si="9"/>
        <v>109.1</v>
      </c>
    </row>
  </sheetData>
  <dataValidations>
    <dataValidation type="list" allowBlank="1" showErrorMessage="1" sqref="C2">
      <formula1>'blue force'!$O$5:$O$7</formula1>
    </dataValidation>
    <dataValidation type="list" allowBlank="1" sqref="D5:D28">
      <formula1>#REF!</formula1>
    </dataValidation>
  </dataValidations>
  <drawing r:id="rId1"/>
  <tableParts count="1">
    <tablePart r:id="rId3"/>
  </tableParts>
</worksheet>
</file>